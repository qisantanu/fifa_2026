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<sst xmlns="http://schemas.openxmlformats.org/spreadsheetml/2006/main" count="102" uniqueCount="95">
  <si>
    <t xml:space="preserve">RailStation</t>
  </si>
  <si>
    <t xml:space="preserve">Roadlocation</t>
  </si>
  <si>
    <t xml:space="preserve">DistanceFromHome</t>
  </si>
  <si>
    <t xml:space="preserve">ETT (Min)</t>
  </si>
  <si>
    <t xml:space="preserve">ETS (KM)</t>
  </si>
  <si>
    <t xml:space="preserve">Coordinates</t>
  </si>
  <si>
    <t xml:space="preserve">Bidhannagar</t>
  </si>
  <si>
    <t xml:space="preserve">Home</t>
  </si>
  <si>
    <t xml:space="preserve">22.6095887,88.4261919</t>
  </si>
  <si>
    <t xml:space="preserve">Belghoriya</t>
  </si>
  <si>
    <t xml:space="preserve">Dumdum</t>
  </si>
  <si>
    <t xml:space="preserve">22.6212,88.4093</t>
  </si>
  <si>
    <t xml:space="preserve">Khardaha</t>
  </si>
  <si>
    <t xml:space="preserve">Madhyamgram</t>
  </si>
  <si>
    <t xml:space="preserve">22.6980,88.4552</t>
  </si>
  <si>
    <t xml:space="preserve">Barrackpore</t>
  </si>
  <si>
    <t xml:space="preserve">Barasat</t>
  </si>
  <si>
    <t xml:space="preserve">22.7238,88.4815</t>
  </si>
  <si>
    <t xml:space="preserve">Kanchrapara</t>
  </si>
  <si>
    <t xml:space="preserve">Barojaguli</t>
  </si>
  <si>
    <t xml:space="preserve">22.9567,88.5448</t>
  </si>
  <si>
    <t xml:space="preserve">Chakdaha</t>
  </si>
  <si>
    <t xml:space="preserve">23.0805,88.5255</t>
  </si>
  <si>
    <t xml:space="preserve">Ranaghat</t>
  </si>
  <si>
    <t xml:space="preserve">23.1802,88.5815</t>
  </si>
  <si>
    <t xml:space="preserve">Phulia</t>
  </si>
  <si>
    <t xml:space="preserve">23.2372,88.5144</t>
  </si>
  <si>
    <t xml:space="preserve">Ghoralia</t>
  </si>
  <si>
    <t xml:space="preserve">Bathna Krittibas Railway Flyover</t>
  </si>
  <si>
    <t xml:space="preserve">23.2500,88.4600</t>
  </si>
  <si>
    <t xml:space="preserve">Krishnanagar</t>
  </si>
  <si>
    <t xml:space="preserve">23.4013,88.4960</t>
  </si>
  <si>
    <t xml:space="preserve">Dhubulia</t>
  </si>
  <si>
    <t xml:space="preserve">23.4912,88.4590</t>
  </si>
  <si>
    <t xml:space="preserve">Palasi</t>
  </si>
  <si>
    <t xml:space="preserve">23.7915,88.2514</t>
  </si>
  <si>
    <t xml:space="preserve">Beldanga</t>
  </si>
  <si>
    <t xml:space="preserve">23.9312,88.2483</t>
  </si>
  <si>
    <t xml:space="preserve">Sagardighi</t>
  </si>
  <si>
    <t xml:space="preserve">24.2863,88.0877</t>
  </si>
  <si>
    <t xml:space="preserve">Ahiran</t>
  </si>
  <si>
    <t xml:space="preserve">24.5298,87.9711</t>
  </si>
  <si>
    <t xml:space="preserve">Bhagirathi Haridashi bridge</t>
  </si>
  <si>
    <t xml:space="preserve">23.9702,88.3585</t>
  </si>
  <si>
    <t xml:space="preserve">Hausnagar</t>
  </si>
  <si>
    <t xml:space="preserve">Dhuliyan</t>
  </si>
  <si>
    <t xml:space="preserve">24.6865,87.9502</t>
  </si>
  <si>
    <t xml:space="preserve">Ankura Bridge</t>
  </si>
  <si>
    <t xml:space="preserve">24.7812,87.9310</t>
  </si>
  <si>
    <t xml:space="preserve">New Farakka B cabin</t>
  </si>
  <si>
    <t xml:space="preserve">Farakka</t>
  </si>
  <si>
    <t xml:space="preserve">24.8021,87.9171</t>
  </si>
  <si>
    <t xml:space="preserve">Jamirghata</t>
  </si>
  <si>
    <t xml:space="preserve">Sujapur</t>
  </si>
  <si>
    <t xml:space="preserve">24.9080,88.0863</t>
  </si>
  <si>
    <t xml:space="preserve">Madhughata bridge on Pagla river</t>
  </si>
  <si>
    <t xml:space="preserve">24.9531,88.1124</t>
  </si>
  <si>
    <t xml:space="preserve">Malda</t>
  </si>
  <si>
    <t xml:space="preserve">25.0108,88.1411</t>
  </si>
  <si>
    <t xml:space="preserve">Jhangra</t>
  </si>
  <si>
    <t xml:space="preserve">25.0825,88.1320</t>
  </si>
  <si>
    <t xml:space="preserve">Adina/ Pandua</t>
  </si>
  <si>
    <t xml:space="preserve">25.1328,88.1633</t>
  </si>
  <si>
    <t xml:space="preserve">Gazole</t>
  </si>
  <si>
    <t xml:space="preserve">25.2185,88.1912</t>
  </si>
  <si>
    <t xml:space="preserve">Itahar</t>
  </si>
  <si>
    <t xml:space="preserve">25.4382,88.1654</t>
  </si>
  <si>
    <t xml:space="preserve">Rupahar</t>
  </si>
  <si>
    <t xml:space="preserve">25.5891,88.1388</t>
  </si>
  <si>
    <t xml:space="preserve">Raiganj</t>
  </si>
  <si>
    <t xml:space="preserve">25.6179,88.1264</t>
  </si>
  <si>
    <t xml:space="preserve">Altapur</t>
  </si>
  <si>
    <t xml:space="preserve">25.6811,88.0982</t>
  </si>
  <si>
    <t xml:space="preserve">Nagri river brigdge</t>
  </si>
  <si>
    <t xml:space="preserve">25.7100,88.0500</t>
  </si>
  <si>
    <t xml:space="preserve">Bihinagar</t>
  </si>
  <si>
    <t xml:space="preserve">25.7412,87.9812</t>
  </si>
  <si>
    <t xml:space="preserve">Tunibhita</t>
  </si>
  <si>
    <t xml:space="preserve">25.7726,87.9415</t>
  </si>
  <si>
    <t xml:space="preserve">Karandighi</t>
  </si>
  <si>
    <t xml:space="preserve">25.7901,87.9085</t>
  </si>
  <si>
    <t xml:space="preserve">Domohona</t>
  </si>
  <si>
    <t xml:space="preserve">25.8115,87.8821</t>
  </si>
  <si>
    <t xml:space="preserve">Dalkhola</t>
  </si>
  <si>
    <t xml:space="preserve">25.8554,87.8540</t>
  </si>
  <si>
    <t xml:space="preserve">Surajpur</t>
  </si>
  <si>
    <t xml:space="preserve">25.9214,87.8812</t>
  </si>
  <si>
    <t xml:space="preserve">Asurgar</t>
  </si>
  <si>
    <t xml:space="preserve">25.9815,87.8925</t>
  </si>
  <si>
    <t xml:space="preserve">Kanki</t>
  </si>
  <si>
    <t xml:space="preserve">26.0125,87.9152</t>
  </si>
  <si>
    <t xml:space="preserve">Hatwar</t>
  </si>
  <si>
    <t xml:space="preserve">26.0400,87.8900</t>
  </si>
  <si>
    <t xml:space="preserve">Kishanganj</t>
  </si>
  <si>
    <t xml:space="preserve">26.1026,87.9485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</si>
</sst>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82"/>
    <col collapsed="false" customWidth="true" hidden="false" outlineLevel="0" max="3" min="3" style="1" width="18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n">
        <v>0</v>
      </c>
      <c r="D2" s="3" t="n">
        <v>0</v>
      </c>
      <c r="E2" s="3"/>
      <c r="F2" s="3" t="s">
        <v>8</v>
      </c>
    </row>
    <row r="3" customFormat="false" ht="23.85" hidden="false" customHeight="false" outlineLevel="0" collapsed="false">
      <c r="A3" s="1" t="s">
        <v>9</v>
      </c>
      <c r="B3" s="1" t="s">
        <v>10</v>
      </c>
      <c r="C3" s="1" t="n">
        <v>6</v>
      </c>
      <c r="E3" s="1" t="str">
        <f aca="false">IFERROR(C3/(D3/60),"")</f>
        <v/>
      </c>
      <c r="F3" s="4" t="s">
        <v>11</v>
      </c>
    </row>
    <row r="4" customFormat="false" ht="23.85" hidden="false" customHeight="false" outlineLevel="0" collapsed="false">
      <c r="A4" s="1" t="s">
        <v>12</v>
      </c>
      <c r="B4" s="1" t="s">
        <v>13</v>
      </c>
      <c r="C4" s="1" t="n">
        <v>12</v>
      </c>
      <c r="E4" s="1" t="str">
        <f aca="false">IFERROR(C4/(D4/60),"")</f>
        <v/>
      </c>
      <c r="F4" s="4" t="s">
        <v>14</v>
      </c>
    </row>
    <row r="5" customFormat="false" ht="23.85" hidden="false" customHeight="false" outlineLevel="0" collapsed="false">
      <c r="A5" s="1" t="s">
        <v>15</v>
      </c>
      <c r="B5" s="1" t="s">
        <v>16</v>
      </c>
      <c r="C5" s="1" t="n">
        <v>16</v>
      </c>
      <c r="D5" s="1" t="n">
        <v>50</v>
      </c>
      <c r="E5" s="1" t="n">
        <f aca="false">IFERROR(C5/(D5/60),"")</f>
        <v>19.2</v>
      </c>
      <c r="F5" s="4" t="s">
        <v>17</v>
      </c>
    </row>
    <row r="6" customFormat="false" ht="23.85" hidden="false" customHeight="false" outlineLevel="0" collapsed="false">
      <c r="A6" s="1" t="s">
        <v>18</v>
      </c>
      <c r="B6" s="1" t="s">
        <v>19</v>
      </c>
      <c r="C6" s="1" t="n">
        <v>59</v>
      </c>
      <c r="D6" s="1" t="n">
        <v>80</v>
      </c>
      <c r="E6" s="1" t="n">
        <f aca="false">IFERROR(ROUND(C6/(D6/60),2),"")</f>
        <v>44.25</v>
      </c>
      <c r="F6" s="4" t="s">
        <v>20</v>
      </c>
    </row>
    <row r="7" customFormat="false" ht="23.85" hidden="false" customHeight="false" outlineLevel="0" collapsed="false">
      <c r="A7" s="1" t="s">
        <v>21</v>
      </c>
      <c r="B7" s="1" t="s">
        <v>21</v>
      </c>
      <c r="C7" s="1" t="n">
        <v>71</v>
      </c>
      <c r="D7" s="1" t="n">
        <v>97</v>
      </c>
      <c r="E7" s="1" t="n">
        <f aca="false">IFERROR(ROUND(C7/(D7/60),2),"")</f>
        <v>43.92</v>
      </c>
      <c r="F7" s="4" t="s">
        <v>22</v>
      </c>
    </row>
    <row r="8" customFormat="false" ht="23.85" hidden="false" customHeight="false" outlineLevel="0" collapsed="false">
      <c r="A8" s="1" t="s">
        <v>23</v>
      </c>
      <c r="B8" s="1" t="s">
        <v>23</v>
      </c>
      <c r="C8" s="1" t="n">
        <v>82</v>
      </c>
      <c r="D8" s="1" t="n">
        <v>105</v>
      </c>
      <c r="E8" s="1" t="n">
        <f aca="false">IFERROR(ROUND(C8/(D8/60),2),"")</f>
        <v>46.86</v>
      </c>
      <c r="F8" s="4" t="s">
        <v>24</v>
      </c>
    </row>
    <row r="9" customFormat="false" ht="23.85" hidden="false" customHeight="false" outlineLevel="0" collapsed="false">
      <c r="A9" s="1" t="s">
        <v>25</v>
      </c>
      <c r="B9" s="1" t="s">
        <v>25</v>
      </c>
      <c r="C9" s="1" t="n">
        <v>92</v>
      </c>
      <c r="D9" s="1" t="n">
        <v>113</v>
      </c>
      <c r="E9" s="1" t="n">
        <f aca="false">IFERROR(ROUND(C9/(D9/60),2),"")</f>
        <v>48.85</v>
      </c>
      <c r="F9" s="4" t="s">
        <v>26</v>
      </c>
    </row>
    <row r="10" customFormat="false" ht="23.85" hidden="false" customHeight="false" outlineLevel="0" collapsed="false">
      <c r="A10" s="1" t="s">
        <v>27</v>
      </c>
      <c r="B10" s="1" t="s">
        <v>28</v>
      </c>
      <c r="C10" s="1" t="n">
        <v>94</v>
      </c>
      <c r="D10" s="1" t="n">
        <v>114</v>
      </c>
      <c r="E10" s="1" t="n">
        <f aca="false">IFERROR(ROUND(C10/(D10/60),2),"")</f>
        <v>49.47</v>
      </c>
      <c r="F10" s="4" t="s">
        <v>29</v>
      </c>
    </row>
    <row r="11" customFormat="false" ht="23.85" hidden="false" customHeight="false" outlineLevel="0" collapsed="false">
      <c r="A11" s="1" t="s">
        <v>30</v>
      </c>
      <c r="B11" s="1" t="s">
        <v>30</v>
      </c>
      <c r="C11" s="1" t="n">
        <v>116</v>
      </c>
      <c r="D11" s="1" t="n">
        <v>143</v>
      </c>
      <c r="E11" s="1" t="n">
        <f aca="false">IFERROR(ROUND(C11/(D11/60),2),"")</f>
        <v>48.67</v>
      </c>
      <c r="F11" s="4" t="s">
        <v>31</v>
      </c>
    </row>
    <row r="12" customFormat="false" ht="23.85" hidden="false" customHeight="false" outlineLevel="0" collapsed="false">
      <c r="A12" s="1" t="s">
        <v>32</v>
      </c>
      <c r="B12" s="1" t="s">
        <v>32</v>
      </c>
      <c r="C12" s="1" t="n">
        <v>127</v>
      </c>
      <c r="D12" s="1" t="n">
        <v>147</v>
      </c>
      <c r="E12" s="1" t="n">
        <f aca="false">IFERROR(ROUND(C12/(D12/60),2),"")</f>
        <v>51.84</v>
      </c>
      <c r="F12" s="4" t="s">
        <v>33</v>
      </c>
    </row>
    <row r="13" customFormat="false" ht="23.85" hidden="false" customHeight="false" outlineLevel="0" collapsed="false">
      <c r="B13" s="1" t="s">
        <v>34</v>
      </c>
      <c r="C13" s="1" t="n">
        <v>167</v>
      </c>
      <c r="D13" s="1" t="n">
        <v>196</v>
      </c>
      <c r="E13" s="1" t="n">
        <f aca="false">IFERROR(ROUND(C13/(D13/60),2),"")</f>
        <v>51.12</v>
      </c>
      <c r="F13" s="4" t="s">
        <v>35</v>
      </c>
    </row>
    <row r="14" customFormat="false" ht="23.85" hidden="false" customHeight="false" outlineLevel="0" collapsed="false">
      <c r="A14" s="1" t="s">
        <v>36</v>
      </c>
      <c r="B14" s="1" t="s">
        <v>36</v>
      </c>
      <c r="C14" s="1" t="n">
        <v>185</v>
      </c>
      <c r="D14" s="1" t="n">
        <v>220</v>
      </c>
      <c r="E14" s="1" t="n">
        <f aca="false">IFERROR(ROUND(C14/(D14/60),2),"")</f>
        <v>50.45</v>
      </c>
      <c r="F14" s="4" t="s">
        <v>37</v>
      </c>
    </row>
    <row r="15" customFormat="false" ht="23.85" hidden="false" customHeight="false" outlineLevel="0" collapsed="false">
      <c r="B15" s="1" t="s">
        <v>38</v>
      </c>
      <c r="C15" s="1" t="n">
        <v>231</v>
      </c>
      <c r="D15" s="1" t="n">
        <v>274</v>
      </c>
      <c r="E15" s="1" t="n">
        <f aca="false">IFERROR(ROUND(C15/(D15/60),2),"")</f>
        <v>50.58</v>
      </c>
      <c r="F15" s="4" t="s">
        <v>39</v>
      </c>
    </row>
    <row r="16" customFormat="false" ht="23.85" hidden="false" customHeight="false" outlineLevel="0" collapsed="false">
      <c r="B16" s="1" t="s">
        <v>40</v>
      </c>
      <c r="C16" s="1" t="n">
        <v>259</v>
      </c>
      <c r="D16" s="1" t="n">
        <v>305</v>
      </c>
      <c r="E16" s="1" t="n">
        <f aca="false">IFERROR(ROUND(C15/(D15/60),2),"")</f>
        <v>50.58</v>
      </c>
      <c r="F16" s="4" t="s">
        <v>41</v>
      </c>
    </row>
    <row r="17" customFormat="false" ht="23.85" hidden="false" customHeight="false" outlineLevel="0" collapsed="false">
      <c r="B17" s="1" t="s">
        <v>42</v>
      </c>
      <c r="E17" s="1" t="n">
        <f aca="false">IFERROR(ROUND(C16/(D16/60),2),"")</f>
        <v>50.95</v>
      </c>
      <c r="F17" s="4" t="s">
        <v>43</v>
      </c>
    </row>
    <row r="18" customFormat="false" ht="23.85" hidden="false" customHeight="false" outlineLevel="0" collapsed="false">
      <c r="A18" s="4" t="s">
        <v>44</v>
      </c>
      <c r="B18" s="1" t="s">
        <v>45</v>
      </c>
      <c r="C18" s="1" t="n">
        <v>281</v>
      </c>
      <c r="D18" s="1" t="n">
        <v>333</v>
      </c>
      <c r="E18" s="1" t="n">
        <f aca="false">IFERROR(ROUND(C18/(D18/60),2),"")</f>
        <v>50.63</v>
      </c>
      <c r="F18" s="4" t="s">
        <v>46</v>
      </c>
    </row>
    <row r="19" customFormat="false" ht="23.85" hidden="false" customHeight="false" outlineLevel="0" collapsed="false">
      <c r="A19" s="4"/>
      <c r="B19" s="1" t="s">
        <v>47</v>
      </c>
      <c r="E19" s="1"/>
      <c r="F19" s="4" t="s">
        <v>48</v>
      </c>
    </row>
    <row r="20" customFormat="false" ht="23.85" hidden="false" customHeight="false" outlineLevel="0" collapsed="false">
      <c r="A20" s="1" t="s">
        <v>49</v>
      </c>
      <c r="B20" s="1" t="s">
        <v>50</v>
      </c>
      <c r="C20" s="1" t="n">
        <v>294</v>
      </c>
      <c r="D20" s="1" t="n">
        <v>346</v>
      </c>
      <c r="E20" s="1" t="n">
        <f aca="false">IFERROR(ROUND(C20/(D20/60),2),"")</f>
        <v>50.98</v>
      </c>
      <c r="F20" s="4" t="s">
        <v>51</v>
      </c>
    </row>
    <row r="21" customFormat="false" ht="23.85" hidden="false" customHeight="false" outlineLevel="0" collapsed="false">
      <c r="A21" s="1" t="s">
        <v>52</v>
      </c>
      <c r="B21" s="1" t="s">
        <v>53</v>
      </c>
      <c r="C21" s="1" t="n">
        <v>318</v>
      </c>
      <c r="D21" s="1" t="n">
        <v>383</v>
      </c>
      <c r="E21" s="1" t="n">
        <f aca="false">IFERROR(ROUND(C21/(D21/60),2),"")</f>
        <v>49.82</v>
      </c>
      <c r="F21" s="4" t="s">
        <v>54</v>
      </c>
    </row>
    <row r="22" customFormat="false" ht="23.85" hidden="false" customHeight="false" outlineLevel="0" collapsed="false">
      <c r="B22" s="1" t="s">
        <v>55</v>
      </c>
      <c r="E22" s="1"/>
      <c r="F22" s="4" t="s">
        <v>56</v>
      </c>
    </row>
    <row r="23" customFormat="false" ht="23.85" hidden="false" customHeight="false" outlineLevel="0" collapsed="false">
      <c r="A23" s="1" t="s">
        <v>57</v>
      </c>
      <c r="B23" s="1" t="s">
        <v>57</v>
      </c>
      <c r="C23" s="1" t="n">
        <v>331</v>
      </c>
      <c r="D23" s="1" t="n">
        <v>410</v>
      </c>
      <c r="E23" s="1" t="n">
        <f aca="false">IFERROR(ROUND(C23/(D23/60),2),"")</f>
        <v>48.44</v>
      </c>
      <c r="F23" s="4" t="s">
        <v>58</v>
      </c>
    </row>
    <row r="24" customFormat="false" ht="23.85" hidden="false" customHeight="false" outlineLevel="0" collapsed="false">
      <c r="B24" s="1" t="s">
        <v>59</v>
      </c>
      <c r="C24" s="1" t="n">
        <v>337</v>
      </c>
      <c r="D24" s="1" t="n">
        <v>415</v>
      </c>
      <c r="E24" s="1" t="n">
        <f aca="false">IFERROR(ROUND(C24/(D24/60),2),"")</f>
        <v>48.72</v>
      </c>
      <c r="F24" s="4" t="s">
        <v>60</v>
      </c>
    </row>
    <row r="25" customFormat="false" ht="23.85" hidden="false" customHeight="false" outlineLevel="0" collapsed="false">
      <c r="B25" s="1" t="s">
        <v>61</v>
      </c>
      <c r="C25" s="1" t="n">
        <v>349</v>
      </c>
      <c r="D25" s="1" t="n">
        <v>425</v>
      </c>
      <c r="E25" s="1" t="n">
        <f aca="false">IFERROR(ROUND(C25/(D25/60),2),"")</f>
        <v>49.27</v>
      </c>
      <c r="F25" s="4" t="s">
        <v>62</v>
      </c>
    </row>
    <row r="26" customFormat="false" ht="23.85" hidden="false" customHeight="false" outlineLevel="0" collapsed="false">
      <c r="B26" s="1" t="s">
        <v>63</v>
      </c>
      <c r="C26" s="1" t="n">
        <v>357</v>
      </c>
      <c r="D26" s="1" t="n">
        <v>435</v>
      </c>
      <c r="E26" s="1" t="n">
        <f aca="false">IFERROR(ROUND(C26/(D26/60),2),"")</f>
        <v>49.24</v>
      </c>
      <c r="F26" s="4" t="s">
        <v>64</v>
      </c>
    </row>
    <row r="27" customFormat="false" ht="23.85" hidden="false" customHeight="false" outlineLevel="0" collapsed="false">
      <c r="B27" s="1" t="s">
        <v>65</v>
      </c>
      <c r="C27" s="1" t="n">
        <v>385</v>
      </c>
      <c r="D27" s="1" t="n">
        <v>466</v>
      </c>
      <c r="E27" s="1" t="n">
        <f aca="false">IFERROR(ROUND(C27/(D27/60),2),"")</f>
        <v>49.57</v>
      </c>
      <c r="F27" s="4" t="s">
        <v>66</v>
      </c>
    </row>
    <row r="28" customFormat="false" ht="23.85" hidden="false" customHeight="false" outlineLevel="0" collapsed="false">
      <c r="B28" s="1" t="s">
        <v>67</v>
      </c>
      <c r="C28" s="1" t="n">
        <v>400</v>
      </c>
      <c r="D28" s="1" t="n">
        <v>485</v>
      </c>
      <c r="E28" s="1" t="n">
        <f aca="false">IFERROR(ROUND(C28/(D28/60),2),"")</f>
        <v>49.48</v>
      </c>
      <c r="F28" s="4" t="s">
        <v>68</v>
      </c>
    </row>
    <row r="29" customFormat="false" ht="23.85" hidden="false" customHeight="false" outlineLevel="0" collapsed="false">
      <c r="B29" s="1" t="s">
        <v>69</v>
      </c>
      <c r="C29" s="1" t="n">
        <v>423</v>
      </c>
      <c r="D29" s="1" t="n">
        <v>512</v>
      </c>
      <c r="E29" s="1" t="n">
        <f aca="false">IFERROR(ROUND(C29/(D29/60),2),"")</f>
        <v>49.57</v>
      </c>
      <c r="F29" s="4" t="s">
        <v>70</v>
      </c>
    </row>
    <row r="30" customFormat="false" ht="23.85" hidden="false" customHeight="false" outlineLevel="0" collapsed="false">
      <c r="B30" s="1" t="s">
        <v>71</v>
      </c>
      <c r="C30" s="1" t="n">
        <v>423</v>
      </c>
      <c r="D30" s="1" t="n">
        <v>512</v>
      </c>
      <c r="E30" s="1" t="n">
        <f aca="false">IFERROR(ROUND(C30/(D30/60),2),"")</f>
        <v>49.57</v>
      </c>
      <c r="F30" s="4" t="s">
        <v>72</v>
      </c>
    </row>
    <row r="31" customFormat="false" ht="23.85" hidden="false" customHeight="false" outlineLevel="0" collapsed="false">
      <c r="B31" s="1" t="s">
        <v>73</v>
      </c>
      <c r="F31" s="4" t="s">
        <v>74</v>
      </c>
    </row>
    <row r="32" customFormat="false" ht="23.85" hidden="false" customHeight="false" outlineLevel="0" collapsed="false">
      <c r="B32" s="1" t="s">
        <v>75</v>
      </c>
      <c r="C32" s="1" t="n">
        <v>426</v>
      </c>
      <c r="D32" s="1" t="n">
        <v>520</v>
      </c>
      <c r="E32" s="1" t="n">
        <f aca="false">IFERROR(ROUND(C32/(D32/60),2),"")</f>
        <v>49.15</v>
      </c>
      <c r="F32" s="4" t="s">
        <v>76</v>
      </c>
    </row>
    <row r="33" customFormat="false" ht="23.85" hidden="false" customHeight="false" outlineLevel="0" collapsed="false">
      <c r="B33" s="1" t="s">
        <v>77</v>
      </c>
      <c r="E33" s="1" t="str">
        <f aca="false">IFERROR(ROUND(C33/(D33/60),2),"")</f>
        <v/>
      </c>
      <c r="F33" s="4" t="s">
        <v>78</v>
      </c>
    </row>
    <row r="34" customFormat="false" ht="23.85" hidden="false" customHeight="false" outlineLevel="0" collapsed="false">
      <c r="B34" s="1" t="s">
        <v>79</v>
      </c>
      <c r="C34" s="1" t="n">
        <v>437</v>
      </c>
      <c r="D34" s="1" t="n">
        <v>526</v>
      </c>
      <c r="E34" s="1" t="n">
        <f aca="false">IFERROR(ROUND(C34/(D34/60),2),"")</f>
        <v>49.85</v>
      </c>
      <c r="F34" s="4" t="s">
        <v>80</v>
      </c>
    </row>
    <row r="35" customFormat="false" ht="23.85" hidden="false" customHeight="false" outlineLevel="0" collapsed="false">
      <c r="B35" s="1" t="s">
        <v>81</v>
      </c>
      <c r="C35" s="1" t="n">
        <v>442</v>
      </c>
      <c r="D35" s="1" t="n">
        <v>536</v>
      </c>
      <c r="E35" s="1" t="n">
        <f aca="false">IFERROR(ROUND(C35/(D35/60),2),"")</f>
        <v>49.48</v>
      </c>
      <c r="F35" s="4" t="s">
        <v>82</v>
      </c>
    </row>
    <row r="36" customFormat="false" ht="23.85" hidden="false" customHeight="false" outlineLevel="0" collapsed="false">
      <c r="B36" s="1" t="s">
        <v>83</v>
      </c>
      <c r="C36" s="1" t="n">
        <v>450</v>
      </c>
      <c r="D36" s="1" t="n">
        <v>545</v>
      </c>
      <c r="E36" s="1" t="n">
        <f aca="false">IFERROR(ROUND(C36/(D36/60),2),"")</f>
        <v>49.54</v>
      </c>
      <c r="F36" s="4" t="s">
        <v>84</v>
      </c>
    </row>
    <row r="37" customFormat="false" ht="23.85" hidden="false" customHeight="false" outlineLevel="0" collapsed="false">
      <c r="B37" s="1" t="s">
        <v>85</v>
      </c>
      <c r="E37" s="1" t="str">
        <f aca="false">IFERROR(ROUND(C37/(D37/60),2),"")</f>
        <v/>
      </c>
      <c r="F37" s="4" t="s">
        <v>86</v>
      </c>
    </row>
    <row r="38" customFormat="false" ht="23.85" hidden="false" customHeight="false" outlineLevel="0" collapsed="false">
      <c r="B38" s="1" t="s">
        <v>87</v>
      </c>
      <c r="E38" s="1" t="str">
        <f aca="false">IFERROR(ROUND(C38/(D38/60),2),"")</f>
        <v/>
      </c>
      <c r="F38" s="4" t="s">
        <v>88</v>
      </c>
    </row>
    <row r="39" customFormat="false" ht="23.85" hidden="false" customHeight="false" outlineLevel="0" collapsed="false">
      <c r="B39" s="1" t="s">
        <v>89</v>
      </c>
      <c r="C39" s="1" t="n">
        <v>467</v>
      </c>
      <c r="D39" s="1" t="n">
        <v>560</v>
      </c>
      <c r="E39" s="1" t="n">
        <f aca="false">IFERROR(ROUND(C39/(D39/60),2),"")</f>
        <v>50.04</v>
      </c>
      <c r="F39" s="4" t="s">
        <v>90</v>
      </c>
    </row>
    <row r="40" customFormat="false" ht="23.85" hidden="false" customHeight="false" outlineLevel="0" collapsed="false">
      <c r="B40" s="1" t="s">
        <v>91</v>
      </c>
      <c r="C40" s="1" t="n">
        <v>474</v>
      </c>
      <c r="D40" s="1" t="n">
        <v>570</v>
      </c>
      <c r="E40" s="1" t="n">
        <f aca="false">IFERROR(ROUND(C40/(D40/60),2),"")</f>
        <v>49.89</v>
      </c>
      <c r="F40" s="4" t="s">
        <v>92</v>
      </c>
    </row>
    <row r="41" customFormat="false" ht="23.85" hidden="false" customHeight="false" outlineLevel="0" collapsed="false">
      <c r="B41" s="1" t="s">
        <v>93</v>
      </c>
      <c r="C41" s="1" t="n">
        <v>481</v>
      </c>
      <c r="D41" s="1" t="n">
        <v>581</v>
      </c>
      <c r="E41" s="1" t="n">
        <f aca="false">IFERROR(ROUND(C41/(D41/60),2),"")</f>
        <v>49.67</v>
      </c>
      <c r="F41" s="4" t="s">
        <v>94</v>
      </c>
    </row>
    <row r="42" customFormat="false" ht="12.8" hidden="false" customHeight="false" outlineLevel="0" collapsed="false">
      <c r="E42" s="1" t="str">
        <f aca="false">IFERROR(ROUND(C42/(D42/60),2),"")</f>
        <v/>
      </c>
    </row>
    <row r="43" customFormat="false" ht="12.8" hidden="false" customHeight="false" outlineLevel="0" collapsed="false">
      <c r="E43" s="1" t="str">
        <f aca="false">IFERROR(ROUND(C43/(D43/60),2),"")</f>
        <v/>
      </c>
    </row>
    <row r="44" customFormat="false" ht="12.8" hidden="false" customHeight="false" outlineLevel="0" collapsed="false">
      <c r="E44" s="1" t="str">
        <f aca="false">IFERROR(ROUND(C44/(D44/60),2),"")</f>
        <v/>
      </c>
    </row>
    <row r="45" customFormat="false" ht="12.8" hidden="false" customHeight="false" outlineLevel="0" collapsed="false">
      <c r="E45" s="1" t="str">
        <f aca="false">IFERROR(ROUND(C45/(D45/60),2),"")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2026-08-12T09:10:53Z</dcterms:created>
  <dc:creator/>
  <dc:description/>
  <dc:language>en-IN</dc:language>
  <cp:lastModifiedBy/>
  <dcterms:modified xsi:type="dcterms:W3CDTF">2026-08-12T14:01:53Z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