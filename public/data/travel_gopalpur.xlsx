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<sst xmlns="http://schemas.openxmlformats.org/spreadsheetml/2006/main" count="57" uniqueCount="48">
  <si>
    <t xml:space="preserve">RailStation</t>
  </si>
  <si>
    <t xml:space="preserve">Roadlocation</t>
  </si>
  <si>
    <t xml:space="preserve">DistanceFromHome</t>
  </si>
  <si>
    <t xml:space="preserve">ETT (Min)</t>
  </si>
  <si>
    <t xml:space="preserve">ETS (KM)</t>
  </si>
  <si>
    <t xml:space="preserve">Coordinates</t>
  </si>
  <si>
    <t xml:space="preserve">Type</t>
  </si>
  <si>
    <t xml:space="preserve">Bidhannagar</t>
  </si>
  <si>
    <t xml:space="preserve">Home</t>
  </si>
  <si>
    <t xml:space="preserve">22.6095887,88.4261919</t>
  </si>
  <si>
    <t xml:space="preserve">Belghoriya</t>
  </si>
  <si>
    <t xml:space="preserve">Dumdum</t>
  </si>
  <si>
    <t xml:space="preserve">22.6212,88.4093</t>
  </si>
  <si>
    <t xml:space="preserve">Dakhineswar</t>
  </si>
  <si>
    <t xml:space="preserve">Nivedita toll</t>
  </si>
  <si>
    <t xml:space="preserve">22.654091, 88.325265</t>
  </si>
  <si>
    <t xml:space="preserve">Toll</t>
  </si>
  <si>
    <t xml:space="preserve">Dhulagori toll</t>
  </si>
  <si>
    <t xml:space="preserve">22.572190, 88.181878</t>
  </si>
  <si>
    <t xml:space="preserve">Debra toll</t>
  </si>
  <si>
    <t xml:space="preserve">22.396101, 87.52047</t>
  </si>
  <si>
    <t xml:space="preserve">Rampura toll</t>
  </si>
  <si>
    <t xml:space="preserve">22.236988, 87.389603</t>
  </si>
  <si>
    <t xml:space="preserve">Jaleswar</t>
  </si>
  <si>
    <t xml:space="preserve">Laxmannath toll</t>
  </si>
  <si>
    <t xml:space="preserve">21.835566, 87.247753
21.835566, 87.247753
21.835566, 87.247753</t>
  </si>
  <si>
    <t xml:space="preserve">Sergarh toll</t>
  </si>
  <si>
    <t xml:space="preserve">21.429712, 86.837159</t>
  </si>
  <si>
    <t xml:space="preserve">Panikholi toll</t>
  </si>
  <si>
    <t xml:space="preserve">20.939372, 86.315791</t>
  </si>
  <si>
    <t xml:space="preserve">Manguli toll</t>
  </si>
  <si>
    <t xml:space="preserve">20.548561, 86.009807</t>
  </si>
  <si>
    <t xml:space="preserve">Khandagiri</t>
  </si>
  <si>
    <t xml:space="preserve">20.262947, 85.790860</t>
  </si>
  <si>
    <t xml:space="preserve">Khordah</t>
  </si>
  <si>
    <t xml:space="preserve">20.168829, 85.618146</t>
  </si>
  <si>
    <t xml:space="preserve">Godipada Toll Plaza</t>
  </si>
  <si>
    <t xml:space="preserve">20.1706, 85.6983</t>
  </si>
  <si>
    <t xml:space="preserve">Ratamati Bridge</t>
  </si>
  <si>
    <t xml:space="preserve">19.9804, 85.3957</t>
  </si>
  <si>
    <t xml:space="preserve">Gurapalli toll plaza</t>
  </si>
  <si>
    <t xml:space="preserve">19.6896, 85.1953</t>
  </si>
  <si>
    <t xml:space="preserve">Rambha</t>
  </si>
  <si>
    <t xml:space="preserve">19.5167, 85.1000</t>
  </si>
  <si>
    <t xml:space="preserve">Chatrapur</t>
  </si>
  <si>
    <t xml:space="preserve">19.3546, 84.9829</t>
  </si>
  <si>
    <t xml:space="preserve">Gopalpur</t>
  </si>
  <si>
    <t xml:space="preserve">19.2564, 84.9080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</si>
</sst>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"/>
    <numFmt numFmtId="166" formatCode="#,##0.00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theme="1"/>
      <name val="Arial"/>
      <family val="2"/>
      <charset val="1"/>
    </font>
    <font>
      <sz val="10"/>
      <color theme="1"/>
      <name val="Times New Roman"/>
      <family val="2"/>
      <charset val="1"/>
    </font>
    <font>
      <sz val="10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right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4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6" fontId="4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0" fillId="0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0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6" fontId="0" fillId="0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/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tint val="51000"/>
              </a:schemeClr>
            </a:gs>
            <a:gs pos="80000">
              <a:schemeClr val="phClr">
                <a:tint val="15000"/>
              </a:schemeClr>
            </a:gs>
            <a:gs pos="100000">
              <a:schemeClr val="phClr">
                <a:tint val="94000"/>
              </a:schemeClr>
            </a:gs>
          </a:gsLst>
          <a:lin ang="16200000" scaled="1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tint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/>
            </a:gs>
            <a:gs pos="100000">
              <a:schemeClr val="phClr">
                <a:tint val="8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F15" activeCellId="0" sqref="F15"/>
    </sheetView>
  </sheetViews>
  <sheetFormatPr defaultColWidth="8.59765625" defaultRowHeight="15" zeroHeight="false" outlineLevelRow="0" outlineLevelCol="0"/>
  <cols>
    <col collapsed="false" customWidth="true" hidden="false" outlineLevel="0" max="1" min="1" style="1" width="18.87"/>
    <col collapsed="false" customWidth="true" hidden="false" outlineLevel="0" max="2" min="2" style="1" width="12.44"/>
    <col collapsed="false" customWidth="true" hidden="false" outlineLevel="0" max="3" min="3" style="2" width="18.58"/>
    <col collapsed="false" customWidth="true" hidden="false" outlineLevel="0" max="4" min="4" style="2" width="12.44"/>
    <col collapsed="false" customWidth="true" hidden="false" outlineLevel="0" max="5" min="5" style="3" width="12.44"/>
    <col collapsed="false" customWidth="true" hidden="false" outlineLevel="0" max="7" min="6" style="1" width="12.44"/>
  </cols>
  <sheetData>
    <row r="1" customFormat="false" ht="17.25" hidden="false" customHeight="true" outlineLevel="0" collapsed="false">
      <c r="A1" s="4" t="s">
        <v>0</v>
      </c>
      <c r="B1" s="4" t="s">
        <v>1</v>
      </c>
      <c r="C1" s="5" t="s">
        <v>2</v>
      </c>
      <c r="D1" s="5" t="s">
        <v>3</v>
      </c>
      <c r="E1" s="6" t="s">
        <v>4</v>
      </c>
      <c r="F1" s="4" t="s">
        <v>5</v>
      </c>
      <c r="G1" s="4" t="s">
        <v>6</v>
      </c>
    </row>
    <row r="2" customFormat="false" ht="17.25" hidden="false" customHeight="true" outlineLevel="0" collapsed="false">
      <c r="A2" s="7" t="s">
        <v>7</v>
      </c>
      <c r="B2" s="7" t="s">
        <v>8</v>
      </c>
      <c r="C2" s="8" t="n">
        <v>0</v>
      </c>
      <c r="D2" s="8" t="n">
        <v>0</v>
      </c>
      <c r="E2" s="9"/>
      <c r="F2" s="7" t="s">
        <v>9</v>
      </c>
    </row>
    <row r="3" customFormat="false" ht="17.25" hidden="false" customHeight="true" outlineLevel="0" collapsed="false">
      <c r="A3" s="7" t="s">
        <v>10</v>
      </c>
      <c r="B3" s="7" t="s">
        <v>11</v>
      </c>
      <c r="C3" s="8" t="n">
        <v>6</v>
      </c>
      <c r="D3" s="8" t="n">
        <v>10</v>
      </c>
      <c r="E3" s="8" t="n">
        <f aca="false">IFERROR(C3/(D3/60),"")</f>
        <v>36</v>
      </c>
      <c r="F3" s="10" t="s">
        <v>12</v>
      </c>
    </row>
    <row r="4" customFormat="false" ht="17.25" hidden="false" customHeight="true" outlineLevel="0" collapsed="false">
      <c r="A4" s="7" t="s">
        <v>13</v>
      </c>
      <c r="B4" s="7" t="s">
        <v>14</v>
      </c>
      <c r="C4" s="8" t="n">
        <v>19</v>
      </c>
      <c r="D4" s="8" t="n">
        <v>47</v>
      </c>
      <c r="E4" s="8" t="n">
        <f aca="false">IFERROR(C4/(D4/60),"")</f>
        <v>24.2553191489362</v>
      </c>
      <c r="F4" s="10" t="s">
        <v>15</v>
      </c>
      <c r="G4" s="1" t="s">
        <v>16</v>
      </c>
    </row>
    <row r="5" customFormat="false" ht="17.25" hidden="false" customHeight="true" outlineLevel="0" collapsed="false">
      <c r="A5" s="7"/>
      <c r="B5" s="7" t="s">
        <v>17</v>
      </c>
      <c r="C5" s="8" t="n">
        <v>37.5</v>
      </c>
      <c r="D5" s="8" t="n">
        <v>81</v>
      </c>
      <c r="E5" s="11" t="n">
        <f aca="false">IFERROR(C5/(D5/60),"")</f>
        <v>27.7777777777778</v>
      </c>
      <c r="F5" s="10" t="s">
        <v>18</v>
      </c>
      <c r="G5" s="1" t="s">
        <v>16</v>
      </c>
    </row>
    <row r="6" customFormat="false" ht="17.25" hidden="false" customHeight="true" outlineLevel="0" collapsed="false">
      <c r="A6" s="7"/>
      <c r="B6" s="7" t="s">
        <v>19</v>
      </c>
      <c r="C6" s="8" t="n">
        <v>115</v>
      </c>
      <c r="D6" s="8" t="n">
        <v>170</v>
      </c>
      <c r="E6" s="11" t="n">
        <f aca="false">IFERROR(ROUND(C6/(D6/60),2),"")</f>
        <v>40.59</v>
      </c>
      <c r="F6" s="10" t="s">
        <v>20</v>
      </c>
      <c r="G6" s="1" t="s">
        <v>16</v>
      </c>
    </row>
    <row r="7" customFormat="false" ht="17.25" hidden="false" customHeight="true" outlineLevel="0" collapsed="false">
      <c r="A7" s="7"/>
      <c r="B7" s="7" t="s">
        <v>21</v>
      </c>
      <c r="C7" s="8" t="n">
        <v>148</v>
      </c>
      <c r="D7" s="8" t="n">
        <v>205</v>
      </c>
      <c r="E7" s="11" t="n">
        <f aca="false">IFERROR(ROUND(C7/(D7/60),2),"")</f>
        <v>43.32</v>
      </c>
      <c r="F7" s="10" t="s">
        <v>22</v>
      </c>
      <c r="G7" s="7" t="s">
        <v>16</v>
      </c>
    </row>
    <row r="8" customFormat="false" ht="17.25" hidden="false" customHeight="true" outlineLevel="0" collapsed="false">
      <c r="A8" s="7" t="s">
        <v>23</v>
      </c>
      <c r="B8" s="7" t="s">
        <v>24</v>
      </c>
      <c r="C8" s="8" t="n">
        <v>200</v>
      </c>
      <c r="D8" s="8" t="n">
        <v>260</v>
      </c>
      <c r="E8" s="11" t="n">
        <f aca="false">IFERROR(ROUND(C8/(D8/60),2),"")</f>
        <v>46.15</v>
      </c>
      <c r="F8" s="12" t="s">
        <v>25</v>
      </c>
      <c r="G8" s="1" t="s">
        <v>16</v>
      </c>
    </row>
    <row r="9" customFormat="false" ht="17.25" hidden="false" customHeight="true" outlineLevel="0" collapsed="false">
      <c r="A9" s="7"/>
      <c r="B9" s="7" t="s">
        <v>26</v>
      </c>
      <c r="C9" s="8" t="n">
        <v>273</v>
      </c>
      <c r="D9" s="8" t="n">
        <v>350</v>
      </c>
      <c r="E9" s="11" t="n">
        <f aca="false">IFERROR(ROUND(C9/(D9/60), 2), "")</f>
        <v>46.8</v>
      </c>
      <c r="F9" s="7" t="s">
        <v>27</v>
      </c>
      <c r="G9" s="1" t="s">
        <v>16</v>
      </c>
    </row>
    <row r="10" customFormat="false" ht="17.25" hidden="false" customHeight="true" outlineLevel="0" collapsed="false">
      <c r="B10" s="7" t="s">
        <v>28</v>
      </c>
      <c r="C10" s="2" t="n">
        <v>352</v>
      </c>
      <c r="D10" s="2" t="n">
        <v>440</v>
      </c>
      <c r="E10" s="11" t="n">
        <f aca="false">IFERROR(ROUND(C10/(D10/60), 2), "")</f>
        <v>48</v>
      </c>
      <c r="F10" s="1" t="s">
        <v>29</v>
      </c>
      <c r="G10" s="1" t="s">
        <v>16</v>
      </c>
    </row>
    <row r="11" customFormat="false" ht="17.25" hidden="false" customHeight="true" outlineLevel="0" collapsed="false">
      <c r="B11" s="1" t="s">
        <v>30</v>
      </c>
      <c r="C11" s="2" t="n">
        <v>411</v>
      </c>
      <c r="D11" s="2" t="n">
        <v>500</v>
      </c>
      <c r="E11" s="11" t="n">
        <f aca="false">IFERROR(ROUND(C11/(D11/60), 2), "")</f>
        <v>49.32</v>
      </c>
      <c r="F11" s="1" t="s">
        <v>31</v>
      </c>
      <c r="G11" s="1" t="s">
        <v>16</v>
      </c>
    </row>
    <row r="12" customFormat="false" ht="17.25" hidden="false" customHeight="true" outlineLevel="0" collapsed="false">
      <c r="B12" s="1" t="s">
        <v>32</v>
      </c>
      <c r="C12" s="2" t="n">
        <v>458</v>
      </c>
      <c r="D12" s="2" t="n">
        <v>580</v>
      </c>
      <c r="E12" s="11" t="n">
        <f aca="false">IFERROR(ROUND(C12/(D12/60), 2), "")</f>
        <v>47.38</v>
      </c>
      <c r="F12" s="13" t="s">
        <v>33</v>
      </c>
    </row>
    <row r="13" customFormat="false" ht="17.25" hidden="false" customHeight="true" outlineLevel="0" collapsed="false">
      <c r="B13" s="7" t="s">
        <v>34</v>
      </c>
      <c r="C13" s="8" t="n">
        <v>478</v>
      </c>
      <c r="D13" s="8" t="n">
        <v>600</v>
      </c>
      <c r="E13" s="11" t="n">
        <f aca="false">IFERROR(ROUND(C13/(D13/60), 2), "")</f>
        <v>47.8</v>
      </c>
      <c r="F13" s="13" t="s">
        <v>35</v>
      </c>
    </row>
    <row r="14" customFormat="false" ht="17.25" hidden="false" customHeight="true" outlineLevel="0" collapsed="false">
      <c r="B14" s="13" t="s">
        <v>36</v>
      </c>
      <c r="C14" s="8" t="n">
        <v>495</v>
      </c>
      <c r="D14" s="8" t="n">
        <v>648</v>
      </c>
      <c r="E14" s="11" t="n">
        <f aca="false">IFERROR(ROUND(C14/(D14/60), 2), "")</f>
        <v>45.83</v>
      </c>
      <c r="F14" s="14" t="s">
        <v>37</v>
      </c>
      <c r="G14" s="1" t="s">
        <v>16</v>
      </c>
    </row>
    <row r="15" customFormat="false" ht="15" hidden="false" customHeight="false" outlineLevel="0" collapsed="false">
      <c r="B15" s="1" t="s">
        <v>38</v>
      </c>
      <c r="C15" s="2" t="n">
        <v>501</v>
      </c>
      <c r="D15" s="2" t="n">
        <v>655</v>
      </c>
      <c r="E15" s="11" t="n">
        <f aca="false">IFERROR(ROUND(C15/(D15/60), 2), "")</f>
        <v>45.89</v>
      </c>
      <c r="F15" s="15" t="s">
        <v>39</v>
      </c>
    </row>
    <row r="16" customFormat="false" ht="15" hidden="false" customHeight="false" outlineLevel="0" collapsed="false">
      <c r="B16" s="1" t="s">
        <v>40</v>
      </c>
      <c r="C16" s="2" t="n">
        <v>562</v>
      </c>
      <c r="D16" s="2" t="n">
        <v>720</v>
      </c>
      <c r="E16" s="11" t="n">
        <f aca="false">IFERROR(ROUND(C16/(D16/60), 2), "")</f>
        <v>46.83</v>
      </c>
      <c r="F16" s="15" t="s">
        <v>41</v>
      </c>
      <c r="G16" s="1" t="s">
        <v>16</v>
      </c>
    </row>
    <row r="17" customFormat="false" ht="31.3" hidden="false" customHeight="false" outlineLevel="0" collapsed="false">
      <c r="B17" s="1" t="s">
        <v>42</v>
      </c>
      <c r="C17" s="2" t="n">
        <v>579</v>
      </c>
      <c r="D17" s="2" t="n">
        <v>738</v>
      </c>
      <c r="E17" s="11" t="n">
        <f aca="false">IFERROR(ROUND(C17/(D17/60), 2), "")</f>
        <v>47.07</v>
      </c>
      <c r="F17" s="13" t="s">
        <v>43</v>
      </c>
    </row>
    <row r="18" customFormat="false" ht="31.3" hidden="false" customHeight="false" outlineLevel="0" collapsed="false">
      <c r="B18" s="1" t="s">
        <v>44</v>
      </c>
      <c r="C18" s="2" t="n">
        <v>602</v>
      </c>
      <c r="D18" s="2" t="n">
        <v>768</v>
      </c>
      <c r="E18" s="11" t="n">
        <f aca="false">IFERROR(ROUND(C18/(D18/60), 2), "")</f>
        <v>47.03</v>
      </c>
      <c r="F18" s="13" t="s">
        <v>45</v>
      </c>
    </row>
    <row r="19" customFormat="false" ht="31.3" hidden="false" customHeight="false" outlineLevel="0" collapsed="false">
      <c r="B19" s="1" t="s">
        <v>46</v>
      </c>
      <c r="C19" s="2" t="n">
        <v>618</v>
      </c>
      <c r="D19" s="2" t="n">
        <v>790</v>
      </c>
      <c r="E19" s="11" t="n">
        <f aca="false">IFERROR(ROUND(C19/(D19/60), 2), "")</f>
        <v>46.94</v>
      </c>
      <c r="F19" s="13" t="s">
        <v>47</v>
      </c>
    </row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20</TotalTime>
  <Application>LibreOffice/24.2.7.2$Linux_X86_64 LibreOffice_project/420$Build-2</Application>
  <AppVersion>15.0000</AppVersion>
  <Company>GrapeCity, Inc.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2026-08-22T13:12:24Z</dcterms:created>
  <dc:creator/>
  <dc:description/>
  <dc:language>en-IN</dc:language>
  <cp:lastModifiedBy/>
  <dcterms:modified xsi:type="dcterms:W3CDTF">2026-08-23T09:20:31Z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