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<sst xmlns="http://schemas.openxmlformats.org/spreadsheetml/2006/main" count="53" uniqueCount="39">
  <si>
    <t>RailStation</t>
  </si>
  <si>
    <t>Roadlocation</t>
  </si>
  <si>
    <t>DistanceFromHome</t>
  </si>
  <si>
    <t>ETT (Min)</t>
  </si>
  <si>
    <t>ETS (KM)</t>
  </si>
  <si>
    <t>Coordinates</t>
  </si>
  <si>
    <t>Type</t>
  </si>
  <si>
    <t>Bidhannagar</t>
  </si>
  <si>
    <t>Home</t>
  </si>
  <si>
    <t>22.6095887,88.4261919</t>
  </si>
  <si>
    <t>Belghoriya</t>
  </si>
  <si>
    <t>Dumdum</t>
  </si>
  <si>
    <t>22.6212,88.4093</t>
  </si>
  <si>
    <t/>
  </si>
  <si>
    <t>Dakhineswar</t>
  </si>
  <si>
    <t>Nivedita toll</t>
  </si>
  <si>
    <t>22.654091, 88.325265</t>
  </si>
  <si>
    <t>Toll</t>
  </si>
  <si>
    <t>Dhulagori toll</t>
  </si>
  <si>
    <t>22.572190, 88.181878</t>
  </si>
  <si>
    <t>Debra toll</t>
  </si>
  <si>
    <t>22.396101, 87.52047</t>
  </si>
  <si>
    <t>Rampura toll</t>
  </si>
  <si>
    <t>22.236988, 87.389603</t>
  </si>
  <si>
    <t>Jaleswar</t>
  </si>
  <si>
    <t>Laxmannath toll</t>
  </si>
  <si>
    <t>21.835566, 87.247753
21.835566, 87.247753
21.835566, 87.247753</t>
  </si>
  <si>
    <t>Sergarh toll</t>
  </si>
  <si>
    <t>21.429712, 86.837159</t>
  </si>
  <si>
    <t>Panikholi toll</t>
  </si>
  <si>
    <t>20.939372, 86.315791</t>
  </si>
  <si>
    <t>Manguli toll</t>
  </si>
  <si>
    <t>20.548561, 86.009807</t>
  </si>
  <si>
    <t>Pipli toll plaza</t>
  </si>
  <si>
    <t>20.133769, 85.840982</t>
  </si>
  <si>
    <t>Sakhi gopal</t>
  </si>
  <si>
    <t>19.942727, 85.820119</t>
  </si>
  <si>
    <t>Puri</t>
  </si>
  <si>
    <t>19.784604, 85.790985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</si>
</sst>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4" applyNumberFormat="1" borderId="1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0" borderId="1" applyBorder="1" fontId="3" applyFont="1" fillId="0" applyAlignment="1">
      <alignment horizontal="left"/>
    </xf>
    <xf xfId="0" numFmtId="0" borderId="0" fontId="0" fillId="0" quotePrefix="1" applyAlignment="1">
      <alignment horizontal="general"/>
    </xf>
    <xf xfId="0" numFmtId="0" borderId="1" applyBorder="1" fontId="2" applyFont="1" fillId="0" quotePrefix="1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4"/>
  <sheetViews>
    <sheetView workbookViewId="0" tabSelected="1"/>
  </sheetViews>
  <sheetFormatPr defaultRowHeight="15" x14ac:dyDescent="0.25"/>
  <cols>
    <col min="1" max="1" style="13" width="18.862142857142857" customWidth="1" bestFit="1"/>
    <col min="2" max="2" style="13" width="12.43357142857143" customWidth="1" bestFit="1"/>
    <col min="3" max="3" style="14" width="18.576428571428572" customWidth="1" bestFit="1"/>
    <col min="4" max="4" style="14" width="12.43357142857143" customWidth="1" bestFit="1"/>
    <col min="5" max="5" style="15" width="12.43357142857143" customWidth="1" bestFit="1"/>
    <col min="6" max="6" style="13" width="12.43357142857143" customWidth="1" bestFit="1"/>
    <col min="7" max="7" style="13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1" t="s">
        <v>5</v>
      </c>
      <c r="G1" s="1" t="s">
        <v>6</v>
      </c>
    </row>
    <row x14ac:dyDescent="0.25" r="2" customHeight="1" ht="17.25">
      <c r="A2" s="4" t="s">
        <v>7</v>
      </c>
      <c r="B2" s="4" t="s">
        <v>8</v>
      </c>
      <c r="C2" s="5">
        <v>0</v>
      </c>
      <c r="D2" s="5">
        <v>0</v>
      </c>
      <c r="E2" s="6"/>
      <c r="F2" s="4" t="s">
        <v>9</v>
      </c>
      <c r="G2" s="7"/>
    </row>
    <row x14ac:dyDescent="0.25" r="3" customHeight="1" ht="17.25">
      <c r="A3" s="4" t="s">
        <v>10</v>
      </c>
      <c r="B3" s="4" t="s">
        <v>11</v>
      </c>
      <c r="C3" s="5">
        <v>6</v>
      </c>
      <c r="D3" s="5">
        <v>10</v>
      </c>
      <c r="E3" s="5">
        <f>IFERROR(C3/(D3/60),"")</f>
      </c>
      <c r="F3" s="8" t="s">
        <v>12</v>
      </c>
      <c r="G3" s="9" t="s">
        <v>13</v>
      </c>
    </row>
    <row x14ac:dyDescent="0.25" r="4" customHeight="1" ht="17.25">
      <c r="A4" s="4" t="s">
        <v>14</v>
      </c>
      <c r="B4" s="4" t="s">
        <v>15</v>
      </c>
      <c r="C4" s="5">
        <v>19</v>
      </c>
      <c r="D4" s="5">
        <v>47</v>
      </c>
      <c r="E4" s="5">
        <f>IFERROR(C4/(D4/60),"")</f>
      </c>
      <c r="F4" s="8" t="s">
        <v>16</v>
      </c>
      <c r="G4" s="7" t="s">
        <v>17</v>
      </c>
    </row>
    <row x14ac:dyDescent="0.25" r="5" customHeight="1" ht="17.25">
      <c r="A5" s="10" t="s">
        <v>13</v>
      </c>
      <c r="B5" s="4" t="s">
        <v>18</v>
      </c>
      <c r="C5" s="5">
        <v>37.5</v>
      </c>
      <c r="D5" s="5">
        <v>81</v>
      </c>
      <c r="E5" s="11">
        <f>IFERROR(C5/(D5/60),"")</f>
      </c>
      <c r="F5" s="8" t="s">
        <v>19</v>
      </c>
      <c r="G5" s="7" t="s">
        <v>17</v>
      </c>
    </row>
    <row x14ac:dyDescent="0.25" r="6" customHeight="1" ht="17.25">
      <c r="A6" s="10" t="s">
        <v>13</v>
      </c>
      <c r="B6" s="4" t="s">
        <v>20</v>
      </c>
      <c r="C6" s="5">
        <v>115</v>
      </c>
      <c r="D6" s="5">
        <v>170</v>
      </c>
      <c r="E6" s="11">
        <f>IFERROR(ROUND(C6/(D6/60),2),"")</f>
      </c>
      <c r="F6" s="8" t="s">
        <v>21</v>
      </c>
      <c r="G6" s="7" t="s">
        <v>17</v>
      </c>
    </row>
    <row x14ac:dyDescent="0.25" r="7" customHeight="1" ht="17.25">
      <c r="A7" s="10" t="s">
        <v>13</v>
      </c>
      <c r="B7" s="4" t="s">
        <v>22</v>
      </c>
      <c r="C7" s="5">
        <v>148</v>
      </c>
      <c r="D7" s="5">
        <v>205</v>
      </c>
      <c r="E7" s="11">
        <f>IFERROR(ROUND(C7/(D7/60),2),"")</f>
      </c>
      <c r="F7" s="8" t="s">
        <v>23</v>
      </c>
      <c r="G7" s="4" t="s">
        <v>17</v>
      </c>
    </row>
    <row x14ac:dyDescent="0.25" r="8" customHeight="1" ht="17.25">
      <c r="A8" s="4" t="s">
        <v>24</v>
      </c>
      <c r="B8" s="4" t="s">
        <v>25</v>
      </c>
      <c r="C8" s="5">
        <v>200</v>
      </c>
      <c r="D8" s="5">
        <v>260</v>
      </c>
      <c r="E8" s="11">
        <f>IFERROR(ROUND(C8/(D8/60),2),"")</f>
      </c>
      <c r="F8" s="8" t="s">
        <v>26</v>
      </c>
      <c r="G8" s="7" t="s">
        <v>17</v>
      </c>
    </row>
    <row x14ac:dyDescent="0.25" r="9" customHeight="1" ht="17.25">
      <c r="A9" s="10" t="s">
        <v>13</v>
      </c>
      <c r="B9" s="4" t="s">
        <v>27</v>
      </c>
      <c r="C9" s="5">
        <v>273</v>
      </c>
      <c r="D9" s="5">
        <v>350</v>
      </c>
      <c r="E9" s="11">
        <f>iferror(round(C9/(D9/60), 2), "")</f>
      </c>
      <c r="F9" s="4" t="s">
        <v>28</v>
      </c>
      <c r="G9" s="7" t="s">
        <v>17</v>
      </c>
    </row>
    <row x14ac:dyDescent="0.25" r="10" customHeight="1" ht="17.25">
      <c r="A10" s="7"/>
      <c r="B10" s="4" t="s">
        <v>29</v>
      </c>
      <c r="C10" s="12">
        <v>352</v>
      </c>
      <c r="D10" s="12">
        <v>440</v>
      </c>
      <c r="E10" s="11">
        <f>iferror(round(C10/(D10/60), 2), "")</f>
      </c>
      <c r="F10" s="7" t="s">
        <v>30</v>
      </c>
      <c r="G10" s="7" t="s">
        <v>17</v>
      </c>
    </row>
    <row x14ac:dyDescent="0.25" r="11" customHeight="1" ht="17.25">
      <c r="A11" s="7"/>
      <c r="B11" s="7" t="s">
        <v>31</v>
      </c>
      <c r="C11" s="12">
        <v>411</v>
      </c>
      <c r="D11" s="12">
        <v>500</v>
      </c>
      <c r="E11" s="11">
        <f>iferror(round(C11/(D11/60), 2), "")</f>
      </c>
      <c r="F11" s="7" t="s">
        <v>32</v>
      </c>
      <c r="G11" s="7" t="s">
        <v>17</v>
      </c>
    </row>
    <row x14ac:dyDescent="0.25" r="12" customHeight="1" ht="17.25">
      <c r="A12" s="7"/>
      <c r="B12" s="7" t="s">
        <v>33</v>
      </c>
      <c r="C12" s="12">
        <v>468</v>
      </c>
      <c r="D12" s="12">
        <v>566</v>
      </c>
      <c r="E12" s="11">
        <f>iferror(round(C12/(D12/60), 2), "")</f>
      </c>
      <c r="F12" s="7" t="s">
        <v>34</v>
      </c>
      <c r="G12" s="7" t="s">
        <v>17</v>
      </c>
    </row>
    <row x14ac:dyDescent="0.25" r="13" customHeight="1" ht="17.25">
      <c r="A13" s="7"/>
      <c r="B13" s="7" t="s">
        <v>35</v>
      </c>
      <c r="C13" s="12">
        <v>492</v>
      </c>
      <c r="D13" s="12">
        <v>600</v>
      </c>
      <c r="E13" s="11">
        <f>iferror(round(C13/(D13/60), 2), "")</f>
      </c>
      <c r="F13" s="7" t="s">
        <v>36</v>
      </c>
      <c r="G13" s="7" t="s">
        <v>17</v>
      </c>
    </row>
    <row x14ac:dyDescent="0.25" r="14" customHeight="1" ht="17.25">
      <c r="A14" s="7"/>
      <c r="B14" s="4" t="s">
        <v>37</v>
      </c>
      <c r="C14" s="5">
        <v>517</v>
      </c>
      <c r="D14" s="5">
        <v>625</v>
      </c>
      <c r="E14" s="11">
        <f>iferror(round(C14/(D14/60), 2), "")</f>
      </c>
      <c r="F14" s="4" t="s">
        <v>38</v>
      </c>
      <c r="G14" s="9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2026-08-22T13:12:24.731Z</dcterms:created>
  <dcterms:modified xsi:type="dcterms:W3CDTF">2026-08-22T13:12:24.731Z</dcterms:modified>
</cp:coreProperties>
</file>